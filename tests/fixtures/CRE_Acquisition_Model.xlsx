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;($#,##0);&quot;-&quot;"/>
    <numFmt numFmtId="165" formatCode="0.0%;(0.0%);&quot;-&quot;"/>
    <numFmt numFmtId="166" formatCode="$#,##0.00;($#,##0.00);&quot;-&quot;"/>
    <numFmt numFmtId="167" formatCode="0.00&quot;x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b val="1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7" fillId="2" borderId="0" pivotButton="0" quotePrefix="0" xfId="0"/>
    <xf numFmtId="0" fontId="4" fillId="0" borderId="0" pivotButton="0" quotePrefix="0" xfId="0"/>
    <xf numFmtId="164" fontId="5" fillId="3" borderId="0" pivotButton="0" quotePrefix="0" xfId="0"/>
    <xf numFmtId="0" fontId="2" fillId="0" borderId="0" applyAlignment="1" pivotButton="0" quotePrefix="0" xfId="0">
      <alignment vertical="top" wrapText="1"/>
    </xf>
    <xf numFmtId="165" fontId="5" fillId="0" borderId="0" pivotButton="0" quotePrefix="0" xfId="0"/>
    <xf numFmtId="3" fontId="5" fillId="0" borderId="0" pivotButton="0" quotePrefix="0" xfId="0"/>
    <xf numFmtId="166" fontId="5" fillId="3" borderId="0" pivotButton="0" quotePrefix="0" xfId="0"/>
    <xf numFmtId="165" fontId="5" fillId="3" borderId="0" pivotButton="0" quotePrefix="0" xfId="0"/>
    <xf numFmtId="166" fontId="5" fillId="0" borderId="0" pivotButton="0" quotePrefix="0" xfId="0"/>
    <xf numFmtId="0" fontId="6" fillId="0" borderId="0" pivotButton="0" quotePrefix="0" xfId="0"/>
    <xf numFmtId="0" fontId="6" fillId="4" borderId="0" applyAlignment="1" pivotButton="0" quotePrefix="0" xfId="0">
      <alignment horizontal="center"/>
    </xf>
    <xf numFmtId="164" fontId="4" fillId="0" borderId="0" pivotButton="0" quotePrefix="0" xfId="0"/>
    <xf numFmtId="164" fontId="4" fillId="4" borderId="0" pivotButton="0" quotePrefix="0" xfId="0"/>
    <xf numFmtId="164" fontId="6" fillId="0" borderId="1" pivotButton="0" quotePrefix="0" xfId="0"/>
    <xf numFmtId="164" fontId="6" fillId="4" borderId="1" pivotButton="0" quotePrefix="0" xfId="0"/>
    <xf numFmtId="0" fontId="7" fillId="4" borderId="0" pivotButton="0" quotePrefix="0" xfId="0"/>
    <xf numFmtId="165" fontId="6" fillId="0" borderId="0" pivotButton="0" quotePrefix="0" xfId="0"/>
    <xf numFmtId="167" fontId="6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2" fillId="2" borderId="0" applyAlignment="1" pivotButton="0" quotePrefix="0" xfId="0">
      <alignment vertical="top" wrapText="1"/>
    </xf>
    <xf numFmtId="164" fontId="7" fillId="0" borderId="0" pivotButton="0" quotePrefix="0" xfId="0"/>
    <xf numFmtId="167" fontId="7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xSplit="2" ySplit="20" topLeftCell="C2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70" customWidth="1" min="10" max="10"/>
  </cols>
  <sheetData>
    <row r="1">
      <c r="A1" s="1" t="inlineStr">
        <is>
          <t>Industrial Building Acquisition Model (5-Year Hold)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Legend: blue = input you can change (yellow = key assumptions); black = formula. Example inputs are illustrative, not market data.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STEP 1 - ASSUMPTIONS (INPUTS)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6" t="inlineStr">
        <is>
          <t>Purchase price</t>
        </is>
      </c>
      <c r="B5" s="7" t="n">
        <v>10000000</v>
      </c>
      <c r="C5" s="2" t="n"/>
      <c r="D5" s="2" t="n"/>
      <c r="E5" s="2" t="n"/>
      <c r="F5" s="2" t="n"/>
      <c r="G5" s="2" t="n"/>
      <c r="H5" s="2" t="n"/>
      <c r="I5" s="2" t="n"/>
      <c r="J5" s="8" t="inlineStr">
        <is>
          <t>What we pay the seller.</t>
        </is>
      </c>
    </row>
    <row r="6">
      <c r="A6" s="6" t="inlineStr">
        <is>
          <t>Closing costs (% of price)</t>
        </is>
      </c>
      <c r="B6" s="9" t="n">
        <v>0.015</v>
      </c>
      <c r="C6" s="2" t="n"/>
      <c r="D6" s="2" t="n"/>
      <c r="E6" s="2" t="n"/>
      <c r="F6" s="2" t="n"/>
      <c r="G6" s="2" t="n"/>
      <c r="H6" s="2" t="n"/>
      <c r="I6" s="2" t="n"/>
      <c r="J6" s="8" t="inlineStr">
        <is>
          <t>Legal, title, due diligence, transfer taxes. Paid with our equity.</t>
        </is>
      </c>
    </row>
    <row r="7">
      <c r="A7" s="6" t="inlineStr">
        <is>
          <t>Building size (SF)</t>
        </is>
      </c>
      <c r="B7" s="10" t="n">
        <v>100000</v>
      </c>
      <c r="C7" s="2" t="n"/>
      <c r="D7" s="2" t="n"/>
      <c r="E7" s="2" t="n"/>
      <c r="F7" s="2" t="n"/>
      <c r="G7" s="2" t="n"/>
      <c r="H7" s="2" t="n"/>
      <c r="I7" s="2" t="n"/>
      <c r="J7" s="8" t="inlineStr">
        <is>
          <t>Rentable square feet. Rent and expenses are quoted per SF.</t>
        </is>
      </c>
    </row>
    <row r="8">
      <c r="A8" s="6" t="inlineStr">
        <is>
          <t>Starting rent ($/SF/yr)</t>
        </is>
      </c>
      <c r="B8" s="11" t="n">
        <v>8</v>
      </c>
      <c r="C8" s="2" t="n"/>
      <c r="D8" s="2" t="n"/>
      <c r="E8" s="2" t="n"/>
      <c r="F8" s="2" t="n"/>
      <c r="G8" s="2" t="n"/>
      <c r="H8" s="2" t="n"/>
      <c r="I8" s="2" t="n"/>
      <c r="J8" s="8" t="inlineStr">
        <is>
          <t>Market rent for this building today, from the rent roll and broker comps.</t>
        </is>
      </c>
    </row>
    <row r="9">
      <c r="A9" s="6" t="inlineStr">
        <is>
          <t>Annual rent growth</t>
        </is>
      </c>
      <c r="B9" s="12" t="n">
        <v>0.03</v>
      </c>
      <c r="C9" s="2" t="n"/>
      <c r="D9" s="2" t="n"/>
      <c r="E9" s="2" t="n"/>
      <c r="F9" s="2" t="n"/>
      <c r="G9" s="2" t="n"/>
      <c r="H9" s="2" t="n"/>
      <c r="I9" s="2" t="n"/>
      <c r="J9" s="8" t="inlineStr">
        <is>
          <t>How fast rents rise each year. A big lever: be skeptical of high numbers.</t>
        </is>
      </c>
    </row>
    <row r="10">
      <c r="A10" s="6" t="inlineStr">
        <is>
          <t>Vacancy &amp; credit loss</t>
        </is>
      </c>
      <c r="B10" s="9" t="n">
        <v>0.05</v>
      </c>
      <c r="C10" s="2" t="n"/>
      <c r="D10" s="2" t="n"/>
      <c r="E10" s="2" t="n"/>
      <c r="F10" s="2" t="n"/>
      <c r="G10" s="2" t="n"/>
      <c r="H10" s="2" t="n"/>
      <c r="I10" s="2" t="n"/>
      <c r="J10" s="8" t="inlineStr">
        <is>
          <t>Share of rent we won't collect (empty space, tenants who don't pay).</t>
        </is>
      </c>
    </row>
    <row r="11">
      <c r="A11" s="6" t="inlineStr">
        <is>
          <t>Operating expenses ($/SF/yr)</t>
        </is>
      </c>
      <c r="B11" s="13" t="n">
        <v>1.6</v>
      </c>
      <c r="C11" s="2" t="n"/>
      <c r="D11" s="2" t="n"/>
      <c r="E11" s="2" t="n"/>
      <c r="F11" s="2" t="n"/>
      <c r="G11" s="2" t="n"/>
      <c r="H11" s="2" t="n"/>
      <c r="I11" s="2" t="n"/>
      <c r="J11" s="8" t="inlineStr">
        <is>
          <t>Costs the landlord pays and can't pass to tenants: management, repairs, insurance gap.</t>
        </is>
      </c>
    </row>
    <row r="12">
      <c r="A12" s="6" t="inlineStr">
        <is>
          <t>Expense growth</t>
        </is>
      </c>
      <c r="B12" s="9" t="n">
        <v>0.03</v>
      </c>
      <c r="C12" s="2" t="n"/>
      <c r="D12" s="2" t="n"/>
      <c r="E12" s="2" t="n"/>
      <c r="F12" s="2" t="n"/>
      <c r="G12" s="2" t="n"/>
      <c r="H12" s="2" t="n"/>
      <c r="I12" s="2" t="n"/>
      <c r="J12" s="8" t="inlineStr">
        <is>
          <t>Usually set near inflation.</t>
        </is>
      </c>
    </row>
    <row r="13">
      <c r="A13" s="6" t="inlineStr">
        <is>
          <t>Capex reserve ($/SF/yr)</t>
        </is>
      </c>
      <c r="B13" s="13" t="n">
        <v>0.15</v>
      </c>
      <c r="C13" s="2" t="n"/>
      <c r="D13" s="2" t="n"/>
      <c r="E13" s="2" t="n"/>
      <c r="F13" s="2" t="n"/>
      <c r="G13" s="2" t="n"/>
      <c r="H13" s="2" t="n"/>
      <c r="I13" s="2" t="n"/>
      <c r="J13" s="8" t="inlineStr">
        <is>
          <t>Money set aside for roofs, parking lots, HVAC. Not in NOI, but it's real cash out.</t>
        </is>
      </c>
    </row>
    <row r="14">
      <c r="A14" s="6" t="inlineStr">
        <is>
          <t>Loan-to-value (LTV)</t>
        </is>
      </c>
      <c r="B14" s="12" t="n">
        <v>0.6</v>
      </c>
      <c r="C14" s="2" t="n"/>
      <c r="D14" s="2" t="n"/>
      <c r="E14" s="2" t="n"/>
      <c r="F14" s="2" t="n"/>
      <c r="G14" s="2" t="n"/>
      <c r="H14" s="2" t="n"/>
      <c r="I14" s="2" t="n"/>
      <c r="J14" s="8" t="inlineStr">
        <is>
          <t>Share of purchase price borrowed from a bank.</t>
        </is>
      </c>
    </row>
    <row r="15">
      <c r="A15" s="6" t="inlineStr">
        <is>
          <t>Interest rate</t>
        </is>
      </c>
      <c r="B15" s="12" t="n">
        <v>0.06</v>
      </c>
      <c r="C15" s="2" t="n"/>
      <c r="D15" s="2" t="n"/>
      <c r="E15" s="2" t="n"/>
      <c r="F15" s="2" t="n"/>
      <c r="G15" s="2" t="n"/>
      <c r="H15" s="2" t="n"/>
      <c r="I15" s="2" t="n"/>
      <c r="J15" s="8" t="inlineStr">
        <is>
          <t>Interest-only loan: we pay interest yearly, repay principal at sale.</t>
        </is>
      </c>
    </row>
    <row r="16">
      <c r="A16" s="6" t="inlineStr">
        <is>
          <t>Exit cap rate</t>
        </is>
      </c>
      <c r="B16" s="12" t="n">
        <v>0.065</v>
      </c>
      <c r="C16" s="2" t="n"/>
      <c r="D16" s="2" t="n"/>
      <c r="E16" s="2" t="n"/>
      <c r="F16" s="2" t="n"/>
      <c r="G16" s="2" t="n"/>
      <c r="H16" s="2" t="n"/>
      <c r="I16" s="2" t="n"/>
      <c r="J16" s="8" t="inlineStr">
        <is>
          <t>Cap rate the next buyer pays in year 5. The single most sensitive input.</t>
        </is>
      </c>
    </row>
    <row r="17">
      <c r="A17" s="6" t="inlineStr">
        <is>
          <t>Selling costs (% of sale price)</t>
        </is>
      </c>
      <c r="B17" s="9" t="n">
        <v>0.02</v>
      </c>
      <c r="C17" s="2" t="n"/>
      <c r="D17" s="2" t="n"/>
      <c r="E17" s="2" t="n"/>
      <c r="F17" s="2" t="n"/>
      <c r="G17" s="2" t="n"/>
      <c r="H17" s="2" t="n"/>
      <c r="I17" s="2" t="n"/>
      <c r="J17" s="8" t="inlineStr">
        <is>
          <t>Broker commission and legal costs when we sell.</t>
        </is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4" t="inlineStr">
        <is>
          <t>STEPS 2-5 - CASH FLOWS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14" t="inlineStr">
        <is>
          <t>Year</t>
        </is>
      </c>
      <c r="B20" s="2" t="n"/>
      <c r="C20" s="15" t="n">
        <v>0</v>
      </c>
      <c r="D20" s="15" t="n">
        <v>1</v>
      </c>
      <c r="E20" s="15" t="n">
        <v>2</v>
      </c>
      <c r="F20" s="15" t="n">
        <v>3</v>
      </c>
      <c r="G20" s="15" t="n">
        <v>4</v>
      </c>
      <c r="H20" s="15" t="n">
        <v>5</v>
      </c>
      <c r="I20" s="15" t="n">
        <v>6</v>
      </c>
      <c r="J20" s="8" t="inlineStr">
        <is>
          <t>Year 0 = the day we buy. Years 1-5 = hold. Year 6 is only used to value the building at sale.</t>
        </is>
      </c>
    </row>
    <row r="21">
      <c r="A21" s="6" t="inlineStr">
        <is>
          <t>Gross potential rent</t>
        </is>
      </c>
      <c r="B21" s="2" t="n"/>
      <c r="C21" s="16" t="n"/>
      <c r="D21" s="16">
        <f>$B$7*$B$8*(1+$B$9)^(D$20-1)</f>
        <v/>
      </c>
      <c r="E21" s="16">
        <f>$B$7*$B$8*(1+$B$9)^(E$20-1)</f>
        <v/>
      </c>
      <c r="F21" s="16">
        <f>$B$7*$B$8*(1+$B$9)^(F$20-1)</f>
        <v/>
      </c>
      <c r="G21" s="16">
        <f>$B$7*$B$8*(1+$B$9)^(G$20-1)</f>
        <v/>
      </c>
      <c r="H21" s="16">
        <f>$B$7*$B$8*(1+$B$9)^(H$20-1)</f>
        <v/>
      </c>
      <c r="I21" s="17">
        <f>$B$7*$B$8*(1+$B$9)^(I$20-1)</f>
        <v/>
      </c>
      <c r="J21" s="8" t="inlineStr">
        <is>
          <t>SF x rent/SF, grown each year. What we'd collect if 100% leased and every tenant paid.</t>
        </is>
      </c>
    </row>
    <row r="22">
      <c r="A22" s="6" t="inlineStr">
        <is>
          <t>Less: vacancy &amp; credit loss</t>
        </is>
      </c>
      <c r="B22" s="2" t="n"/>
      <c r="C22" s="16" t="n"/>
      <c r="D22" s="16">
        <f>-D21*$B$10</f>
        <v/>
      </c>
      <c r="E22" s="16">
        <f>-E21*$B$10</f>
        <v/>
      </c>
      <c r="F22" s="16">
        <f>-F21*$B$10</f>
        <v/>
      </c>
      <c r="G22" s="16">
        <f>-G21*$B$10</f>
        <v/>
      </c>
      <c r="H22" s="16">
        <f>-H21*$B$10</f>
        <v/>
      </c>
      <c r="I22" s="17">
        <f>-I21*$B$10</f>
        <v/>
      </c>
      <c r="J22" s="8" t="inlineStr">
        <is>
          <t>Haircut for empty space and bad debt.</t>
        </is>
      </c>
    </row>
    <row r="23">
      <c r="A23" s="14" t="inlineStr">
        <is>
          <t>Effective gross income (EGI)</t>
        </is>
      </c>
      <c r="B23" s="2" t="n"/>
      <c r="C23" s="18" t="n"/>
      <c r="D23" s="18">
        <f>D21+D22</f>
        <v/>
      </c>
      <c r="E23" s="18">
        <f>E21+E22</f>
        <v/>
      </c>
      <c r="F23" s="18">
        <f>F21+F22</f>
        <v/>
      </c>
      <c r="G23" s="18">
        <f>G21+G22</f>
        <v/>
      </c>
      <c r="H23" s="18">
        <f>H21+H22</f>
        <v/>
      </c>
      <c r="I23" s="19">
        <f>I21+I22</f>
        <v/>
      </c>
      <c r="J23" s="8" t="inlineStr">
        <is>
          <t>Rent we actually expect to collect.</t>
        </is>
      </c>
    </row>
    <row r="24">
      <c r="A24" s="6" t="inlineStr">
        <is>
          <t>Less: operating expenses</t>
        </is>
      </c>
      <c r="B24" s="2" t="n"/>
      <c r="C24" s="16" t="n"/>
      <c r="D24" s="16">
        <f>-$B$7*$B$11*(1+$B$12)^(D$20-1)</f>
        <v/>
      </c>
      <c r="E24" s="16">
        <f>-$B$7*$B$11*(1+$B$12)^(E$20-1)</f>
        <v/>
      </c>
      <c r="F24" s="16">
        <f>-$B$7*$B$11*(1+$B$12)^(F$20-1)</f>
        <v/>
      </c>
      <c r="G24" s="16">
        <f>-$B$7*$B$11*(1+$B$12)^(G$20-1)</f>
        <v/>
      </c>
      <c r="H24" s="16">
        <f>-$B$7*$B$11*(1+$B$12)^(H$20-1)</f>
        <v/>
      </c>
      <c r="I24" s="17">
        <f>-$B$7*$B$11*(1+$B$12)^(I$20-1)</f>
        <v/>
      </c>
      <c r="J24" s="8" t="inlineStr">
        <is>
          <t>Landlord's unreimbursed costs of running the building.</t>
        </is>
      </c>
    </row>
    <row r="25">
      <c r="A25" s="14" t="inlineStr">
        <is>
          <t>Net operating income (NOI)</t>
        </is>
      </c>
      <c r="B25" s="2" t="n"/>
      <c r="C25" s="18" t="n"/>
      <c r="D25" s="18">
        <f>D23+D24</f>
        <v/>
      </c>
      <c r="E25" s="18">
        <f>E23+E24</f>
        <v/>
      </c>
      <c r="F25" s="18">
        <f>F23+F24</f>
        <v/>
      </c>
      <c r="G25" s="18">
        <f>G23+G24</f>
        <v/>
      </c>
      <c r="H25" s="18">
        <f>H23+H24</f>
        <v/>
      </c>
      <c r="I25" s="19">
        <f>I23+I24</f>
        <v/>
      </c>
      <c r="J25" s="8" t="inlineStr">
        <is>
          <t>THE key number: what the building earns before financing and capex. Value = NOI / cap rate.</t>
        </is>
      </c>
    </row>
    <row r="26">
      <c r="A26" s="6" t="inlineStr">
        <is>
          <t>Less: capex reserve</t>
        </is>
      </c>
      <c r="B26" s="2" t="n"/>
      <c r="C26" s="16" t="n"/>
      <c r="D26" s="16">
        <f>-$B$7*$B$13*(1+$B$12)^(D$20-1)</f>
        <v/>
      </c>
      <c r="E26" s="16">
        <f>-$B$7*$B$13*(1+$B$12)^(E$20-1)</f>
        <v/>
      </c>
      <c r="F26" s="16">
        <f>-$B$7*$B$13*(1+$B$12)^(F$20-1)</f>
        <v/>
      </c>
      <c r="G26" s="16">
        <f>-$B$7*$B$13*(1+$B$12)^(G$20-1)</f>
        <v/>
      </c>
      <c r="H26" s="16">
        <f>-$B$7*$B$13*(1+$B$12)^(H$20-1)</f>
        <v/>
      </c>
      <c r="I26" s="17" t="n"/>
      <c r="J26" s="8" t="inlineStr">
        <is>
          <t>Below NOI by industry convention, so cap rates compare cleanly across buildings.</t>
        </is>
      </c>
    </row>
    <row r="27">
      <c r="A27" s="6" t="inlineStr">
        <is>
          <t>Purchase price + closing costs</t>
        </is>
      </c>
      <c r="B27" s="2" t="n"/>
      <c r="C27" s="16">
        <f>-$B$5*(1+$B$6)</f>
        <v/>
      </c>
      <c r="D27" s="16" t="n"/>
      <c r="E27" s="16" t="n"/>
      <c r="F27" s="16" t="n"/>
      <c r="G27" s="16" t="n"/>
      <c r="H27" s="16" t="n"/>
      <c r="I27" s="17" t="n"/>
      <c r="J27" s="8" t="inlineStr">
        <is>
          <t>Cash out on day 0.</t>
        </is>
      </c>
    </row>
    <row r="28">
      <c r="A28" s="6" t="inlineStr">
        <is>
          <t>Gross sale price</t>
        </is>
      </c>
      <c r="B28" s="2" t="n"/>
      <c r="C28" s="16" t="n"/>
      <c r="D28" s="16" t="n"/>
      <c r="E28" s="16" t="n"/>
      <c r="F28" s="16" t="n"/>
      <c r="G28" s="16" t="n"/>
      <c r="H28" s="16">
        <f>I25/$B$16</f>
        <v/>
      </c>
      <c r="I28" s="17" t="n"/>
      <c r="J28" s="8" t="inlineStr">
        <is>
          <t>Next buyer pays for NEXT year's NOI (year 6) at the exit cap rate: NOI / cap rate.</t>
        </is>
      </c>
    </row>
    <row r="29">
      <c r="A29" s="6" t="inlineStr">
        <is>
          <t>Less: selling costs</t>
        </is>
      </c>
      <c r="B29" s="2" t="n"/>
      <c r="C29" s="16" t="n"/>
      <c r="D29" s="16" t="n"/>
      <c r="E29" s="16" t="n"/>
      <c r="F29" s="16" t="n"/>
      <c r="G29" s="16" t="n"/>
      <c r="H29" s="16">
        <f>-H28*$B$17</f>
        <v/>
      </c>
      <c r="I29" s="17" t="n"/>
      <c r="J29" s="8" t="inlineStr">
        <is>
          <t>Commission and legal costs when we sell.</t>
        </is>
      </c>
    </row>
    <row r="30">
      <c r="A30" s="14" t="inlineStr">
        <is>
          <t>Unlevered cash flow</t>
        </is>
      </c>
      <c r="B30" s="2" t="n"/>
      <c r="C30" s="18">
        <f>SUM(C25:C29)</f>
        <v/>
      </c>
      <c r="D30" s="18">
        <f>SUM(D25:D29)</f>
        <v/>
      </c>
      <c r="E30" s="18">
        <f>SUM(E25:E29)</f>
        <v/>
      </c>
      <c r="F30" s="18">
        <f>SUM(F25:F29)</f>
        <v/>
      </c>
      <c r="G30" s="18">
        <f>SUM(G25:G29)</f>
        <v/>
      </c>
      <c r="H30" s="18">
        <f>SUM(H25:H29)</f>
        <v/>
      </c>
      <c r="I30" s="19" t="n"/>
      <c r="J30" s="8" t="inlineStr">
        <is>
          <t>Cash flow if we paid all cash, no loan. Measures the building itself.</t>
        </is>
      </c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0" t="n"/>
      <c r="J31" s="2" t="n"/>
    </row>
    <row r="32">
      <c r="A32" s="6" t="inlineStr">
        <is>
          <t>Loan proceeds</t>
        </is>
      </c>
      <c r="B32" s="2" t="n"/>
      <c r="C32" s="16">
        <f>$B$5*$B$14</f>
        <v/>
      </c>
      <c r="D32" s="16" t="n"/>
      <c r="E32" s="16" t="n"/>
      <c r="F32" s="16" t="n"/>
      <c r="G32" s="16" t="n"/>
      <c r="H32" s="16" t="n"/>
      <c r="I32" s="17" t="n"/>
      <c r="J32" s="8" t="inlineStr">
        <is>
          <t>Bank lends LTV x price on day 0. Cash IN to us, so it reduces our equity check.</t>
        </is>
      </c>
    </row>
    <row r="33">
      <c r="A33" s="6" t="inlineStr">
        <is>
          <t>Less: interest payments</t>
        </is>
      </c>
      <c r="B33" s="2" t="n"/>
      <c r="C33" s="16" t="n"/>
      <c r="D33" s="16">
        <f>-$C$32*$B$15</f>
        <v/>
      </c>
      <c r="E33" s="16">
        <f>-$C$32*$B$15</f>
        <v/>
      </c>
      <c r="F33" s="16">
        <f>-$C$32*$B$15</f>
        <v/>
      </c>
      <c r="G33" s="16">
        <f>-$C$32*$B$15</f>
        <v/>
      </c>
      <c r="H33" s="16">
        <f>-$C$32*$B$15</f>
        <v/>
      </c>
      <c r="I33" s="17" t="n"/>
      <c r="J33" s="8" t="inlineStr">
        <is>
          <t>Interest-only: loan balance x rate, every year.</t>
        </is>
      </c>
    </row>
    <row r="34">
      <c r="A34" s="6" t="inlineStr">
        <is>
          <t>Less: loan repayment</t>
        </is>
      </c>
      <c r="B34" s="2" t="n"/>
      <c r="C34" s="16" t="n"/>
      <c r="D34" s="16" t="n"/>
      <c r="E34" s="16" t="n"/>
      <c r="F34" s="16" t="n"/>
      <c r="G34" s="16" t="n"/>
      <c r="H34" s="16">
        <f>-$C$32</f>
        <v/>
      </c>
      <c r="I34" s="17" t="n"/>
      <c r="J34" s="8" t="inlineStr">
        <is>
          <t>We pay the bank back in full out of sale proceeds.</t>
        </is>
      </c>
    </row>
    <row r="35">
      <c r="A35" s="14" t="inlineStr">
        <is>
          <t>Levered cash flow (to equity)</t>
        </is>
      </c>
      <c r="B35" s="2" t="n"/>
      <c r="C35" s="18">
        <f>C30+SUM(C32:C34)</f>
        <v/>
      </c>
      <c r="D35" s="18">
        <f>D30+SUM(D32:D34)</f>
        <v/>
      </c>
      <c r="E35" s="18">
        <f>E30+SUM(E32:E34)</f>
        <v/>
      </c>
      <c r="F35" s="18">
        <f>F30+SUM(F32:F34)</f>
        <v/>
      </c>
      <c r="G35" s="18">
        <f>G30+SUM(G32:G34)</f>
        <v/>
      </c>
      <c r="H35" s="18">
        <f>H30+SUM(H32:H34)</f>
        <v/>
      </c>
      <c r="I35" s="19" t="n"/>
      <c r="J35" s="8" t="inlineStr">
        <is>
          <t>What WE (the equity investors) put in and get back. This is what returns are measured on.</t>
        </is>
      </c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4" t="inlineStr">
        <is>
          <t>STEP 6 - RETURNS &amp; RISK METRICS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>
      <c r="A38" s="6" t="inlineStr">
        <is>
          <t>Equity invested</t>
        </is>
      </c>
      <c r="B38" s="16">
        <f>-C35</f>
        <v/>
      </c>
      <c r="C38" s="2" t="n"/>
      <c r="D38" s="2" t="n"/>
      <c r="E38" s="2" t="n"/>
      <c r="F38" s="2" t="n"/>
      <c r="G38" s="2" t="n"/>
      <c r="H38" s="2" t="n"/>
      <c r="I38" s="2" t="n"/>
      <c r="J38" s="8" t="inlineStr">
        <is>
          <t>Our check on day 0: price + closing costs - loan.</t>
        </is>
      </c>
    </row>
    <row r="39">
      <c r="A39" s="6" t="inlineStr">
        <is>
          <t>Total profit</t>
        </is>
      </c>
      <c r="B39" s="16">
        <f>SUM(C35:H35)</f>
        <v/>
      </c>
      <c r="C39" s="2" t="n"/>
      <c r="D39" s="2" t="n"/>
      <c r="E39" s="2" t="n"/>
      <c r="F39" s="2" t="n"/>
      <c r="G39" s="2" t="n"/>
      <c r="H39" s="2" t="n"/>
      <c r="I39" s="2" t="n"/>
      <c r="J39" s="8" t="inlineStr">
        <is>
          <t>Everything we got back minus what we put in.</t>
        </is>
      </c>
    </row>
    <row r="40">
      <c r="A40" s="14" t="inlineStr">
        <is>
          <t>Levered IRR</t>
        </is>
      </c>
      <c r="B40" s="21">
        <f>IRR(C35:H35)</f>
        <v/>
      </c>
      <c r="C40" s="2" t="n"/>
      <c r="D40" s="2" t="n"/>
      <c r="E40" s="2" t="n"/>
      <c r="F40" s="2" t="n"/>
      <c r="G40" s="2" t="n"/>
      <c r="H40" s="2" t="n"/>
      <c r="I40" s="2" t="n"/>
      <c r="J40" s="8" t="inlineStr">
        <is>
          <t>Annualized return on our equity, timing-weighted. The headline number.</t>
        </is>
      </c>
    </row>
    <row r="41">
      <c r="A41" s="14" t="inlineStr">
        <is>
          <t>Levered equity multiple</t>
        </is>
      </c>
      <c r="B41" s="22">
        <f>SUM(D35:H35)/-C35</f>
        <v/>
      </c>
      <c r="C41" s="2" t="n"/>
      <c r="D41" s="2" t="n"/>
      <c r="E41" s="2" t="n"/>
      <c r="F41" s="2" t="n"/>
      <c r="G41" s="2" t="n"/>
      <c r="H41" s="2" t="n"/>
      <c r="I41" s="2" t="n"/>
      <c r="J41" s="8" t="inlineStr">
        <is>
          <t>Dollars back per dollar invested. 1.5x = $1.50 back for every $1.</t>
        </is>
      </c>
    </row>
    <row r="42">
      <c r="A42" s="6" t="inlineStr">
        <is>
          <t>Unlevered IRR</t>
        </is>
      </c>
      <c r="B42" s="23">
        <f>IRR(C30:H30)</f>
        <v/>
      </c>
      <c r="C42" s="2" t="n"/>
      <c r="D42" s="2" t="n"/>
      <c r="E42" s="2" t="n"/>
      <c r="F42" s="2" t="n"/>
      <c r="G42" s="2" t="n"/>
      <c r="H42" s="2" t="n"/>
      <c r="I42" s="2" t="n"/>
      <c r="J42" s="8" t="inlineStr">
        <is>
          <t>Return of the building on its own, no loan. Compare to levered to see what debt did.</t>
        </is>
      </c>
    </row>
    <row r="43">
      <c r="A43" s="6" t="inlineStr">
        <is>
          <t>Going-in cap rate</t>
        </is>
      </c>
      <c r="B43" s="23">
        <f>D25/B5</f>
        <v/>
      </c>
      <c r="C43" s="2" t="n"/>
      <c r="D43" s="2" t="n"/>
      <c r="E43" s="2" t="n"/>
      <c r="F43" s="2" t="n"/>
      <c r="G43" s="2" t="n"/>
      <c r="H43" s="2" t="n"/>
      <c r="I43" s="2" t="n"/>
      <c r="J43" s="8" t="inlineStr">
        <is>
          <t>Year-1 NOI / price. The 'yield' we bought at.</t>
        </is>
      </c>
    </row>
    <row r="44">
      <c r="A44" s="6" t="inlineStr">
        <is>
          <t>Year-1 cash-on-cash</t>
        </is>
      </c>
      <c r="B44" s="23">
        <f>(D25+D26+D33)/-C35</f>
        <v/>
      </c>
      <c r="C44" s="2" t="n"/>
      <c r="D44" s="2" t="n"/>
      <c r="E44" s="2" t="n"/>
      <c r="F44" s="2" t="n"/>
      <c r="G44" s="2" t="n"/>
      <c r="H44" s="2" t="n"/>
      <c r="I44" s="2" t="n"/>
      <c r="J44" s="8" t="inlineStr">
        <is>
          <t>Year-1 cash to us / equity invested. How much income we get while we wait.</t>
        </is>
      </c>
    </row>
    <row r="45">
      <c r="A45" s="6" t="inlineStr">
        <is>
          <t>Year-1 DSCR</t>
        </is>
      </c>
      <c r="B45" s="24">
        <f>D25/-D33</f>
        <v/>
      </c>
      <c r="C45" s="2" t="n"/>
      <c r="D45" s="2" t="n"/>
      <c r="E45" s="2" t="n"/>
      <c r="F45" s="2" t="n"/>
      <c r="G45" s="2" t="n"/>
      <c r="H45" s="2" t="n"/>
      <c r="I45" s="2" t="n"/>
      <c r="J45" s="8" t="inlineStr">
        <is>
          <t>NOI / debt payments. Lenders usually want 1.25x+ so a dip in rent doesn't cause default.</t>
        </is>
      </c>
    </row>
    <row r="46">
      <c r="A46" s="6" t="inlineStr">
        <is>
          <t>Debt yield</t>
        </is>
      </c>
      <c r="B46" s="23">
        <f>D25/C32</f>
        <v/>
      </c>
      <c r="C46" s="2" t="n"/>
      <c r="D46" s="2" t="n"/>
      <c r="E46" s="2" t="n"/>
      <c r="F46" s="2" t="n"/>
      <c r="G46" s="2" t="n"/>
      <c r="H46" s="2" t="n"/>
      <c r="I46" s="2" t="n"/>
      <c r="J46" s="8" t="inlineStr">
        <is>
          <t>NOI / loan amount. Lender's return if they had to take the building. ~8%+ is typical.</t>
        </is>
      </c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4" t="inlineStr">
        <is>
          <t>STEP 7 - SENSITIVITY: HOW MUCH DOES THE EXIT CAP RATE MATTER?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25" t="inlineStr">
        <is>
          <t>Rebuilds the equity cash flows with different exit caps. Everything else stays the same.</t>
        </is>
      </c>
    </row>
    <row r="49">
      <c r="A49" s="14" t="inlineStr">
        <is>
          <t>Exit cap rate</t>
        </is>
      </c>
      <c r="B49" s="2" t="n"/>
      <c r="C49" s="15" t="n">
        <v>0</v>
      </c>
      <c r="D49" s="15" t="n">
        <v>1</v>
      </c>
      <c r="E49" s="15" t="n">
        <v>2</v>
      </c>
      <c r="F49" s="15" t="n">
        <v>3</v>
      </c>
      <c r="G49" s="15" t="n">
        <v>4</v>
      </c>
      <c r="H49" s="15" t="n">
        <v>5</v>
      </c>
      <c r="I49" s="14" t="inlineStr">
        <is>
          <t>Levered IRR</t>
        </is>
      </c>
      <c r="J49" s="14" t="inlineStr">
        <is>
          <t>Equity multiple</t>
        </is>
      </c>
    </row>
    <row r="50">
      <c r="A50" s="9" t="n">
        <v>0.055</v>
      </c>
      <c r="B50" s="2" t="n"/>
      <c r="C50" s="26">
        <f>C$35</f>
        <v/>
      </c>
      <c r="D50" s="26">
        <f>D$35</f>
        <v/>
      </c>
      <c r="E50" s="26">
        <f>E$35</f>
        <v/>
      </c>
      <c r="F50" s="26">
        <f>F$35</f>
        <v/>
      </c>
      <c r="G50" s="26">
        <f>G$35</f>
        <v/>
      </c>
      <c r="H50" s="26">
        <f>H$35-H$28-H$29+($I$25/$A50)*(1-$B$17)</f>
        <v/>
      </c>
      <c r="I50" s="21">
        <f>IRR(C50:H50)</f>
        <v/>
      </c>
      <c r="J50" s="27">
        <f>SUM(D50:H50)/-C50</f>
        <v/>
      </c>
    </row>
    <row r="51">
      <c r="A51" s="9" t="n">
        <v>0.06</v>
      </c>
      <c r="B51" s="2" t="n"/>
      <c r="C51" s="26">
        <f>C$35</f>
        <v/>
      </c>
      <c r="D51" s="26">
        <f>D$35</f>
        <v/>
      </c>
      <c r="E51" s="26">
        <f>E$35</f>
        <v/>
      </c>
      <c r="F51" s="26">
        <f>F$35</f>
        <v/>
      </c>
      <c r="G51" s="26">
        <f>G$35</f>
        <v/>
      </c>
      <c r="H51" s="26">
        <f>H$35-H$28-H$29+($I$25/$A51)*(1-$B$17)</f>
        <v/>
      </c>
      <c r="I51" s="21">
        <f>IRR(C51:H51)</f>
        <v/>
      </c>
      <c r="J51" s="27">
        <f>SUM(D51:H51)/-C51</f>
        <v/>
      </c>
    </row>
    <row r="52">
      <c r="A52" s="9" t="n">
        <v>0.065</v>
      </c>
      <c r="B52" s="2" t="n"/>
      <c r="C52" s="26">
        <f>C$35</f>
        <v/>
      </c>
      <c r="D52" s="26">
        <f>D$35</f>
        <v/>
      </c>
      <c r="E52" s="26">
        <f>E$35</f>
        <v/>
      </c>
      <c r="F52" s="26">
        <f>F$35</f>
        <v/>
      </c>
      <c r="G52" s="26">
        <f>G$35</f>
        <v/>
      </c>
      <c r="H52" s="26">
        <f>H$35-H$28-H$29+($I$25/$A52)*(1-$B$17)</f>
        <v/>
      </c>
      <c r="I52" s="21">
        <f>IRR(C52:H52)</f>
        <v/>
      </c>
      <c r="J52" s="27">
        <f>SUM(D52:H52)/-C52</f>
        <v/>
      </c>
    </row>
    <row r="53">
      <c r="A53" s="9" t="n">
        <v>0.07000000000000001</v>
      </c>
      <c r="B53" s="2" t="n"/>
      <c r="C53" s="26">
        <f>C$35</f>
        <v/>
      </c>
      <c r="D53" s="26">
        <f>D$35</f>
        <v/>
      </c>
      <c r="E53" s="26">
        <f>E$35</f>
        <v/>
      </c>
      <c r="F53" s="26">
        <f>F$35</f>
        <v/>
      </c>
      <c r="G53" s="26">
        <f>G$35</f>
        <v/>
      </c>
      <c r="H53" s="26">
        <f>H$35-H$28-H$29+($I$25/$A53)*(1-$B$17)</f>
        <v/>
      </c>
      <c r="I53" s="21">
        <f>IRR(C53:H53)</f>
        <v/>
      </c>
      <c r="J53" s="27">
        <f>SUM(D53:H53)/-C53</f>
        <v/>
      </c>
    </row>
    <row r="54">
      <c r="A54" s="9" t="n">
        <v>0.075</v>
      </c>
      <c r="B54" s="2" t="n"/>
      <c r="C54" s="26">
        <f>C$35</f>
        <v/>
      </c>
      <c r="D54" s="26">
        <f>D$35</f>
        <v/>
      </c>
      <c r="E54" s="26">
        <f>E$35</f>
        <v/>
      </c>
      <c r="F54" s="26">
        <f>F$35</f>
        <v/>
      </c>
      <c r="G54" s="26">
        <f>G$35</f>
        <v/>
      </c>
      <c r="H54" s="26">
        <f>H$35-H$28-H$29+($I$25/$A54)*(1-$B$17)</f>
        <v/>
      </c>
      <c r="I54" s="21">
        <f>IRR(C54:H54)</f>
        <v/>
      </c>
      <c r="J54" s="27">
        <f>SUM(D54:H54)/-C54</f>
        <v/>
      </c>
    </row>
    <row r="55">
      <c r="A55" s="3" t="inlineStr">
        <is>
          <t>Blue cap rates are editable. Row 52 should match the base case above.</t>
        </is>
      </c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2026-10-28T05:43:35Z</dcterms:created>
  <dcterms:modified xsi:type="dcterms:W3CDTF">2026-10-28T05:43:35Z</dcterms:modified>
</cp:coreProperties>
</file>